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Tracking" sheetId="1" state="visible" r:id="rId1"/>
    <sheet xmlns:r="http://schemas.openxmlformats.org/officeDocument/2006/relationships" name="KPI Summary" sheetId="2" state="visible" r:id="rId2"/>
  </sheets>
  <definedNames>
    <definedName name="_xlnm._FilterDatabase" localSheetId="0" hidden="1">'Defect Tracking'!$A$3:$M$9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Defects by Status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'KPI Summary'!$A$4:$A$7</f>
            </numRef>
          </cat>
          <val>
            <numRef>
              <f>'KPI Summary'!$C$4:$C$7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Defects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efectTable" displayName="DefectTable" ref="A3:M9" headerRowCount="1">
  <autoFilter ref="A3:M9"/>
  <tableColumns count="13">
    <tableColumn id="1" name="Defect ID"/>
    <tableColumn id="2" name="Project Name"/>
    <tableColumn id="3" name="Issue Summary"/>
    <tableColumn id="4" name="Environment"/>
    <tableColumn id="5" name="Steps to Reproduce"/>
    <tableColumn id="6" name="Expected Result"/>
    <tableColumn id="7" name="Actual Result"/>
    <tableColumn id="8" name="Severity"/>
    <tableColumn id="9" name="Priority"/>
    <tableColumn id="10" name="Status"/>
    <tableColumn id="11" name="Assignee"/>
    <tableColumn id="12" name="Reporter"/>
    <tableColumn id="13" name="Date Reported"/>
  </tableColumns>
  <tableStyleInfo name="TableStyleMedium2" showFir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2" customWidth="1" min="3" max="3"/>
    <col width="24" customWidth="1" min="4" max="4"/>
    <col width="42" customWidth="1" min="5" max="5"/>
    <col width="36" customWidth="1" min="6" max="6"/>
    <col width="36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28" customHeight="1">
      <c r="A1" s="1" t="inlineStr">
        <is>
          <t>DEFECT TRACKING REPORT — E-COMMERCE PROJECT</t>
        </is>
      </c>
    </row>
    <row r="2"/>
    <row r="3">
      <c r="A3" s="2" t="inlineStr">
        <is>
          <t>Defect ID</t>
        </is>
      </c>
      <c r="B3" s="2" t="inlineStr">
        <is>
          <t>Project Name</t>
        </is>
      </c>
      <c r="C3" s="2" t="inlineStr">
        <is>
          <t>Issue Summary</t>
        </is>
      </c>
      <c r="D3" s="2" t="inlineStr">
        <is>
          <t>Environment</t>
        </is>
      </c>
      <c r="E3" s="2" t="inlineStr">
        <is>
          <t>Steps to Reproduce</t>
        </is>
      </c>
      <c r="F3" s="2" t="inlineStr">
        <is>
          <t>Expected Result</t>
        </is>
      </c>
      <c r="G3" s="2" t="inlineStr">
        <is>
          <t>Actual Result</t>
        </is>
      </c>
      <c r="H3" s="2" t="inlineStr">
        <is>
          <t>Severity</t>
        </is>
      </c>
      <c r="I3" s="2" t="inlineStr">
        <is>
          <t>Priority</t>
        </is>
      </c>
      <c r="J3" s="2" t="inlineStr">
        <is>
          <t>Status</t>
        </is>
      </c>
      <c r="K3" s="2" t="inlineStr">
        <is>
          <t>Assignee</t>
        </is>
      </c>
      <c r="L3" s="2" t="inlineStr">
        <is>
          <t>Reporter</t>
        </is>
      </c>
      <c r="M3" s="2" t="inlineStr">
        <is>
          <t>Date Reported</t>
        </is>
      </c>
    </row>
    <row r="4" ht="62" customHeight="1">
      <c r="A4" s="3" t="inlineStr">
        <is>
          <t>PROJ-101</t>
        </is>
      </c>
      <c r="B4" s="3" t="inlineStr">
        <is>
          <t>E-Commerce</t>
        </is>
      </c>
      <c r="C4" s="3" t="inlineStr">
        <is>
          <t>Login accepts wrong password</t>
        </is>
      </c>
      <c r="D4" s="3" t="inlineStr">
        <is>
          <t>Chrome 122 / Win 11</t>
        </is>
      </c>
      <c r="E4" s="3" t="inlineStr">
        <is>
          <t>1. Go to Login
2. Enter user@test.com
3. Type wrong password
4. Click Submit</t>
        </is>
      </c>
      <c r="F4" s="3" t="inlineStr">
        <is>
          <t>Error "Invalid credentials" displayed</t>
        </is>
      </c>
      <c r="G4" s="3" t="inlineStr">
        <is>
          <t>User logged into dashboard successfully</t>
        </is>
      </c>
      <c r="H4" s="3" t="inlineStr">
        <is>
          <t>Critical</t>
        </is>
      </c>
      <c r="I4" s="3" t="inlineStr">
        <is>
          <t>High</t>
        </is>
      </c>
      <c r="J4" s="3" t="inlineStr">
        <is>
          <t>Open</t>
        </is>
      </c>
      <c r="K4" s="3" t="inlineStr">
        <is>
          <t>Dev Lead</t>
        </is>
      </c>
      <c r="L4" s="3" t="inlineStr">
        <is>
          <t>Tester A</t>
        </is>
      </c>
      <c r="M4" s="4" t="inlineStr">
        <is>
          <t>2026-08-01</t>
        </is>
      </c>
    </row>
    <row r="5" ht="62" customHeight="1">
      <c r="A5" s="3" t="inlineStr">
        <is>
          <t>PROJ-102</t>
        </is>
      </c>
      <c r="B5" s="3" t="inlineStr">
        <is>
          <t>E-Commerce</t>
        </is>
      </c>
      <c r="C5" s="3" t="inlineStr">
        <is>
          <t>Registration accepts invalid email format</t>
        </is>
      </c>
      <c r="D5" s="3" t="inlineStr">
        <is>
          <t>Firefox 123 / macOS</t>
        </is>
      </c>
      <c r="E5" s="3" t="inlineStr">
        <is>
          <t>1. Go to Signup
2. Enter email 'user@'
3. Fill form
4. Click Register</t>
        </is>
      </c>
      <c r="F5" s="3" t="inlineStr">
        <is>
          <t>Field validation error "Enter valid email"</t>
        </is>
      </c>
      <c r="G5" s="3" t="inlineStr">
        <is>
          <t>Form submits and creates corrupted record</t>
        </is>
      </c>
      <c r="H5" s="3" t="inlineStr">
        <is>
          <t>Major</t>
        </is>
      </c>
      <c r="I5" s="3" t="inlineStr">
        <is>
          <t>High</t>
        </is>
      </c>
      <c r="J5" s="3" t="inlineStr">
        <is>
          <t>In Progress</t>
        </is>
      </c>
      <c r="K5" s="3" t="inlineStr">
        <is>
          <t>Dev B</t>
        </is>
      </c>
      <c r="L5" s="3" t="inlineStr">
        <is>
          <t>Tester A</t>
        </is>
      </c>
      <c r="M5" s="4" t="inlineStr">
        <is>
          <t>2026-08-02</t>
        </is>
      </c>
    </row>
    <row r="6" ht="62" customHeight="1">
      <c r="A6" s="3" t="inlineStr">
        <is>
          <t>PROJ-103</t>
        </is>
      </c>
      <c r="B6" s="3" t="inlineStr">
        <is>
          <t>E-Commerce</t>
        </is>
      </c>
      <c r="C6" s="3" t="inlineStr">
        <is>
          <t>Search button non-responsive on mobile</t>
        </is>
      </c>
      <c r="D6" s="3" t="inlineStr">
        <is>
          <t>Chrome / Android 14</t>
        </is>
      </c>
      <c r="E6" s="3" t="inlineStr">
        <is>
          <t>1. Open home page
2. Type query in search
3. Tap magnifying glass</t>
        </is>
      </c>
      <c r="F6" s="3" t="inlineStr">
        <is>
          <t>Search results page loads</t>
        </is>
      </c>
      <c r="G6" s="3" t="inlineStr">
        <is>
          <t>Nothing happens on tap</t>
        </is>
      </c>
      <c r="H6" s="3" t="inlineStr">
        <is>
          <t>Major</t>
        </is>
      </c>
      <c r="I6" s="3" t="inlineStr">
        <is>
          <t>Medium</t>
        </is>
      </c>
      <c r="J6" s="3" t="inlineStr">
        <is>
          <t>Open</t>
        </is>
      </c>
      <c r="K6" s="3" t="inlineStr">
        <is>
          <t>Dev C</t>
        </is>
      </c>
      <c r="L6" s="3" t="inlineStr">
        <is>
          <t>Tester B</t>
        </is>
      </c>
      <c r="M6" s="4" t="inlineStr">
        <is>
          <t>2026-08-03</t>
        </is>
      </c>
    </row>
    <row r="7" ht="62" customHeight="1">
      <c r="A7" s="3" t="inlineStr">
        <is>
          <t>PROJ-104</t>
        </is>
      </c>
      <c r="B7" s="3" t="inlineStr">
        <is>
          <t>E-Commerce</t>
        </is>
      </c>
      <c r="C7" s="3" t="inlineStr">
        <is>
          <t>Checkout total ignores 10% coupon code</t>
        </is>
      </c>
      <c r="D7" s="3" t="inlineStr">
        <is>
          <t>Edge 122 / Win 11</t>
        </is>
      </c>
      <c r="E7" s="3" t="inlineStr">
        <is>
          <t>1. Add $50 item to cart
2. Apply 'SAVE10'
3. Check total</t>
        </is>
      </c>
      <c r="F7" s="3" t="inlineStr">
        <is>
          <t>Total displayed is $45.00</t>
        </is>
      </c>
      <c r="G7" s="3" t="inlineStr">
        <is>
          <t>Total remains $50.00</t>
        </is>
      </c>
      <c r="H7" s="3" t="inlineStr">
        <is>
          <t>Critical</t>
        </is>
      </c>
      <c r="I7" s="3" t="inlineStr">
        <is>
          <t>High</t>
        </is>
      </c>
      <c r="J7" s="3" t="inlineStr">
        <is>
          <t>Fixed</t>
        </is>
      </c>
      <c r="K7" s="3" t="inlineStr">
        <is>
          <t>Dev D</t>
        </is>
      </c>
      <c r="L7" s="3" t="inlineStr">
        <is>
          <t>Tester A</t>
        </is>
      </c>
      <c r="M7" s="4" t="inlineStr">
        <is>
          <t>2026-08-04</t>
        </is>
      </c>
    </row>
    <row r="8" ht="62" customHeight="1">
      <c r="A8" s="3" t="inlineStr">
        <is>
          <t>PROJ-105</t>
        </is>
      </c>
      <c r="B8" s="3" t="inlineStr">
        <is>
          <t>E-Commerce</t>
        </is>
      </c>
      <c r="C8" s="3" t="inlineStr">
        <is>
          <t>Profile photo upload fails for PNG files</t>
        </is>
      </c>
      <c r="D8" s="3" t="inlineStr">
        <is>
          <t>Safari 17 / macOS</t>
        </is>
      </c>
      <c r="E8" s="3" t="inlineStr">
        <is>
          <t>1. Go to Profile
2. Select 500KB PNG file
3. Click Save</t>
        </is>
      </c>
      <c r="F8" s="3" t="inlineStr">
        <is>
          <t>Profile photo updates</t>
        </is>
      </c>
      <c r="G8" s="3" t="inlineStr">
        <is>
          <t>HTTP 500 Server Error displayed</t>
        </is>
      </c>
      <c r="H8" s="3" t="inlineStr">
        <is>
          <t>Minor</t>
        </is>
      </c>
      <c r="I8" s="3" t="inlineStr">
        <is>
          <t>Low</t>
        </is>
      </c>
      <c r="J8" s="3" t="inlineStr">
        <is>
          <t>Closed</t>
        </is>
      </c>
      <c r="K8" s="3" t="inlineStr">
        <is>
          <t>Dev E</t>
        </is>
      </c>
      <c r="L8" s="3" t="inlineStr">
        <is>
          <t>Tester B</t>
        </is>
      </c>
      <c r="M8" s="4" t="inlineStr">
        <is>
          <t>2026-08-05</t>
        </is>
      </c>
    </row>
    <row r="9" ht="62" customHeight="1">
      <c r="A9" s="3" t="inlineStr">
        <is>
          <t>PROJ-106</t>
        </is>
      </c>
      <c r="B9" s="3" t="inlineStr">
        <is>
          <t>E-Commerce</t>
        </is>
      </c>
      <c r="C9" s="3" t="inlineStr">
        <is>
          <t>Cart counter badge does not decrement on item removal</t>
        </is>
      </c>
      <c r="D9" s="3" t="inlineStr">
        <is>
          <t>Chrome 122 / Win 11</t>
        </is>
      </c>
      <c r="E9" s="3" t="inlineStr">
        <is>
          <t>1. Add 2 items
2. Remove 1 item from cart page</t>
        </is>
      </c>
      <c r="F9" s="3" t="inlineStr">
        <is>
          <t>Badge count updates from 2 to 1</t>
        </is>
      </c>
      <c r="G9" s="3" t="inlineStr">
        <is>
          <t>Badge count remains stuck at 2</t>
        </is>
      </c>
      <c r="H9" s="3" t="inlineStr">
        <is>
          <t>Minor</t>
        </is>
      </c>
      <c r="I9" s="3" t="inlineStr">
        <is>
          <t>Low</t>
        </is>
      </c>
      <c r="J9" s="3" t="inlineStr">
        <is>
          <t>Fixed</t>
        </is>
      </c>
      <c r="K9" s="3" t="inlineStr">
        <is>
          <t>Dev C</t>
        </is>
      </c>
      <c r="L9" s="3" t="inlineStr">
        <is>
          <t>Tester A</t>
        </is>
      </c>
      <c r="M9" s="4" t="inlineStr">
        <is>
          <t>2026-08-06</t>
        </is>
      </c>
    </row>
  </sheetData>
  <autoFilter ref="A3:M9"/>
  <mergeCells count="1">
    <mergeCell ref="A1:M1"/>
  </mergeCells>
  <conditionalFormatting sqref="J4:J9">
    <cfRule type="cellIs" priority="1" operator="equal" dxfId="0">
      <formula>"Open"</formula>
    </cfRule>
    <cfRule type="cellIs" priority="2" operator="equal" dxfId="1">
      <formula>"In Progress"</formula>
    </cfRule>
    <cfRule type="cellIs" priority="3" operator="equal" dxfId="2">
      <formula>"Fixed"</formula>
    </cfRule>
    <cfRule type="cellIs" priority="4" operator="equal" dxfId="2">
      <formula>"Closed"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20" customWidth="1" min="3" max="3"/>
  </cols>
  <sheetData>
    <row r="1" ht="28" customHeight="1">
      <c r="A1" s="5" t="inlineStr">
        <is>
          <t>DEFECT TRACKING — KPI SUMMARY</t>
        </is>
      </c>
    </row>
    <row r="2"/>
    <row r="3">
      <c r="A3" s="2" t="inlineStr">
        <is>
          <t>Metric</t>
        </is>
      </c>
      <c r="B3" s="2" t="inlineStr">
        <is>
          <t>Excel Formula</t>
        </is>
      </c>
      <c r="C3" s="2" t="inlineStr">
        <is>
          <t>Expected Output</t>
        </is>
      </c>
    </row>
    <row r="4">
      <c r="A4" s="6" t="inlineStr">
        <is>
          <t>Total Bugs</t>
        </is>
      </c>
      <c r="B4" s="7">
        <f>COUNTA('Defect Tracking'!A4:A9)</f>
        <v/>
      </c>
      <c r="C4" s="7" t="n">
        <v>6</v>
      </c>
    </row>
    <row r="5">
      <c r="A5" s="6" t="inlineStr">
        <is>
          <t>Total Open</t>
        </is>
      </c>
      <c r="B5" s="7">
        <f>COUNTIF('Defect Tracking'!J4:J9,"Open")</f>
        <v/>
      </c>
      <c r="C5" s="7" t="n">
        <v>2</v>
      </c>
    </row>
    <row r="6">
      <c r="A6" s="6" t="inlineStr">
        <is>
          <t>Total In Progress</t>
        </is>
      </c>
      <c r="B6" s="7">
        <f>COUNTIF('Defect Tracking'!J4:J9,"In Progress")</f>
        <v/>
      </c>
      <c r="C6" s="7" t="n">
        <v>1</v>
      </c>
    </row>
    <row r="7">
      <c r="A7" s="6" t="inlineStr">
        <is>
          <t>Total Fixed</t>
        </is>
      </c>
      <c r="B7" s="7">
        <f>COUNTIF('Defect Tracking'!J4:J9,"Fixed")</f>
        <v/>
      </c>
      <c r="C7" s="7" t="n">
        <v>2</v>
      </c>
    </row>
    <row r="8">
      <c r="A8" s="6" t="inlineStr">
        <is>
          <t>Total Closed</t>
        </is>
      </c>
      <c r="B8" s="7">
        <f>COUNTIF('Defect Tracking'!J4:J9,"Closed")</f>
        <v/>
      </c>
      <c r="C8" s="7" t="n">
        <v>1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2026-08-08T12:05:46Z</dcterms:created>
  <dcterms:modified xmlns:dcterms="http://purl.org/dc/terms/" xmlns:xsi="http://www.w3.org/2001/XMLSchema-instance" xsi:type="dcterms:W3CDTF">2026-08-08T12:05:46Z</dcterms:modified>
</cp:coreProperties>
</file>